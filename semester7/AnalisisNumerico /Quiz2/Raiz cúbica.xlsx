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1"/>
  <workbookPr/>
  <mc:AlternateContent xmlns:mc="http://schemas.openxmlformats.org/markup-compatibility/2006">
    <mc:Choice Requires="x15">
      <x15ac:absPath xmlns:x15ac="http://schemas.microsoft.com/office/spreadsheetml/2010/11/ac" url="/Users/jfelipefg17/Desktop/AnalisisNumerico /Quiz2/"/>
    </mc:Choice>
  </mc:AlternateContent>
  <xr:revisionPtr revIDLastSave="0" documentId="13_ncr:1_{221339CE-7FBD-0F45-A7EB-AAA6275E9068}" xr6:coauthVersionLast="47" xr6:coauthVersionMax="47" xr10:uidLastSave="{00000000-0000-0000-0000-000000000000}"/>
  <bookViews>
    <workbookView xWindow="0" yWindow="780" windowWidth="20140" windowHeight="211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1" l="1"/>
  <c r="E8" i="1" l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F6" i="1"/>
  <c r="E6" i="1"/>
  <c r="D39" i="1"/>
  <c r="D40" i="1"/>
  <c r="D41" i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37" i="1"/>
  <c r="D38" i="1"/>
  <c r="D35" i="1"/>
  <c r="D36" i="1"/>
  <c r="D34" i="1"/>
  <c r="D31" i="1"/>
  <c r="D32" i="1"/>
  <c r="D33" i="1"/>
  <c r="D26" i="1"/>
  <c r="D27" i="1"/>
  <c r="D28" i="1" s="1"/>
  <c r="D29" i="1" s="1"/>
  <c r="D30" i="1" s="1"/>
  <c r="D25" i="1"/>
  <c r="D24" i="1"/>
  <c r="D23" i="1"/>
  <c r="D22" i="1"/>
  <c r="D21" i="1"/>
  <c r="D20" i="1"/>
  <c r="D14" i="1"/>
  <c r="D15" i="1"/>
  <c r="D16" i="1"/>
  <c r="D17" i="1"/>
  <c r="D18" i="1" s="1"/>
  <c r="D19" i="1" s="1"/>
  <c r="D10" i="1"/>
  <c r="D11" i="1"/>
  <c r="D12" i="1"/>
  <c r="D13" i="1"/>
  <c r="D9" i="1"/>
  <c r="D8" i="1"/>
  <c r="F8" i="1" l="1"/>
  <c r="F7" i="1"/>
  <c r="G8" i="1"/>
  <c r="G7" i="1"/>
  <c r="D7" i="1"/>
  <c r="I6" i="1" l="1"/>
  <c r="H6" i="1"/>
  <c r="I7" i="1"/>
  <c r="J7" i="1"/>
  <c r="H7" i="1"/>
  <c r="K7" i="1" l="1"/>
  <c r="F9" i="1" l="1"/>
  <c r="G9" i="1"/>
  <c r="F10" i="1" l="1"/>
  <c r="G10" i="1"/>
  <c r="F11" i="1" l="1"/>
  <c r="G11" i="1"/>
  <c r="F12" i="1" l="1"/>
  <c r="G12" i="1"/>
  <c r="G13" i="1" l="1"/>
  <c r="F13" i="1"/>
  <c r="G14" i="1" l="1"/>
  <c r="F14" i="1"/>
  <c r="G15" i="1" l="1"/>
  <c r="F15" i="1"/>
  <c r="F16" i="1" l="1"/>
  <c r="G16" i="1"/>
  <c r="F17" i="1" l="1"/>
  <c r="G17" i="1"/>
  <c r="F18" i="1" l="1"/>
  <c r="G18" i="1"/>
  <c r="G19" i="1" l="1"/>
  <c r="F19" i="1"/>
  <c r="F20" i="1" l="1"/>
  <c r="G20" i="1"/>
  <c r="G21" i="1" l="1"/>
  <c r="F21" i="1"/>
  <c r="G22" i="1" l="1"/>
  <c r="F22" i="1"/>
  <c r="G23" i="1" l="1"/>
  <c r="F23" i="1"/>
  <c r="G24" i="1" l="1"/>
  <c r="F24" i="1"/>
  <c r="G25" i="1" l="1"/>
  <c r="F25" i="1"/>
  <c r="F26" i="1" l="1"/>
  <c r="G26" i="1"/>
  <c r="G27" i="1" l="1"/>
  <c r="F27" i="1"/>
  <c r="F28" i="1" l="1"/>
  <c r="G28" i="1"/>
  <c r="G29" i="1" l="1"/>
  <c r="F29" i="1"/>
  <c r="G30" i="1" l="1"/>
  <c r="F30" i="1"/>
  <c r="F31" i="1" l="1"/>
  <c r="G31" i="1"/>
  <c r="F32" i="1" l="1"/>
  <c r="G32" i="1"/>
  <c r="F33" i="1" l="1"/>
  <c r="G33" i="1"/>
  <c r="G34" i="1" l="1"/>
  <c r="F34" i="1"/>
  <c r="G35" i="1" l="1"/>
  <c r="F35" i="1"/>
  <c r="G36" i="1" l="1"/>
  <c r="F36" i="1"/>
  <c r="G37" i="1" l="1"/>
  <c r="F37" i="1"/>
  <c r="F38" i="1" l="1"/>
  <c r="G38" i="1"/>
  <c r="F39" i="1" l="1"/>
  <c r="G39" i="1"/>
  <c r="G40" i="1" l="1"/>
  <c r="F40" i="1"/>
  <c r="F41" i="1" l="1"/>
  <c r="G41" i="1"/>
  <c r="G42" i="1" l="1"/>
  <c r="F42" i="1"/>
  <c r="F43" i="1" l="1"/>
  <c r="G43" i="1"/>
  <c r="F44" i="1" l="1"/>
  <c r="G44" i="1"/>
  <c r="G45" i="1" l="1"/>
  <c r="F45" i="1"/>
  <c r="G46" i="1" l="1"/>
  <c r="F46" i="1"/>
  <c r="G47" i="1" l="1"/>
  <c r="F47" i="1"/>
  <c r="G48" i="1" l="1"/>
  <c r="F48" i="1"/>
  <c r="G49" i="1" l="1"/>
  <c r="F49" i="1"/>
  <c r="G50" i="1" l="1"/>
  <c r="F50" i="1"/>
  <c r="G51" i="1" l="1"/>
  <c r="F51" i="1"/>
  <c r="F52" i="1" l="1"/>
  <c r="G52" i="1"/>
  <c r="F53" i="1" l="1"/>
  <c r="G53" i="1"/>
  <c r="G54" i="1" l="1"/>
  <c r="F54" i="1"/>
  <c r="G55" i="1" l="1"/>
  <c r="F55" i="1"/>
  <c r="G56" i="1" l="1"/>
  <c r="F56" i="1"/>
  <c r="G57" i="1" l="1"/>
  <c r="F57" i="1"/>
  <c r="F58" i="1" l="1"/>
  <c r="G58" i="1"/>
  <c r="F59" i="1" l="1"/>
  <c r="G59" i="1"/>
  <c r="G60" i="1" l="1"/>
  <c r="F60" i="1"/>
  <c r="F61" i="1" l="1"/>
  <c r="G61" i="1"/>
  <c r="F62" i="1" l="1"/>
  <c r="G62" i="1"/>
  <c r="F63" i="1" l="1"/>
  <c r="G63" i="1"/>
  <c r="G64" i="1" l="1"/>
  <c r="F64" i="1"/>
  <c r="F65" i="1" l="1"/>
  <c r="G65" i="1"/>
  <c r="F66" i="1" l="1"/>
  <c r="G66" i="1"/>
  <c r="F67" i="1" l="1"/>
  <c r="G67" i="1"/>
  <c r="F68" i="1" l="1"/>
  <c r="G68" i="1"/>
  <c r="F69" i="1" l="1"/>
  <c r="G69" i="1"/>
  <c r="G70" i="1" l="1"/>
  <c r="F70" i="1"/>
  <c r="G71" i="1" l="1"/>
  <c r="F71" i="1"/>
  <c r="G72" i="1" l="1"/>
  <c r="F72" i="1"/>
  <c r="F73" i="1" l="1"/>
  <c r="G73" i="1"/>
  <c r="F74" i="1" l="1"/>
  <c r="G74" i="1"/>
  <c r="F75" i="1" l="1"/>
  <c r="G75" i="1"/>
  <c r="G76" i="1" l="1"/>
  <c r="F76" i="1"/>
  <c r="F77" i="1" l="1"/>
  <c r="G77" i="1"/>
  <c r="F78" i="1" l="1"/>
  <c r="G78" i="1"/>
  <c r="G79" i="1" l="1"/>
  <c r="F79" i="1"/>
  <c r="G80" i="1" l="1"/>
  <c r="F80" i="1"/>
  <c r="G81" i="1" l="1"/>
  <c r="F81" i="1"/>
  <c r="G82" i="1" l="1"/>
  <c r="F82" i="1"/>
  <c r="F83" i="1" l="1"/>
  <c r="G83" i="1"/>
  <c r="F84" i="1" l="1"/>
  <c r="G84" i="1"/>
  <c r="F85" i="1" l="1"/>
  <c r="G85" i="1"/>
  <c r="F86" i="1" l="1"/>
  <c r="G86" i="1"/>
  <c r="F87" i="1" l="1"/>
  <c r="G87" i="1"/>
  <c r="F88" i="1" l="1"/>
  <c r="G88" i="1"/>
  <c r="G89" i="1" l="1"/>
  <c r="F89" i="1"/>
  <c r="F90" i="1" l="1"/>
  <c r="G90" i="1"/>
  <c r="G91" i="1" l="1"/>
  <c r="F91" i="1"/>
  <c r="G92" i="1" l="1"/>
  <c r="F92" i="1"/>
  <c r="F93" i="1" l="1"/>
  <c r="G93" i="1"/>
</calcChain>
</file>

<file path=xl/sharedStrings.xml><?xml version="1.0" encoding="utf-8"?>
<sst xmlns="http://schemas.openxmlformats.org/spreadsheetml/2006/main" count="10" uniqueCount="10">
  <si>
    <t>Raíz cúbica usando método numérico</t>
  </si>
  <si>
    <t>i</t>
  </si>
  <si>
    <t>xi</t>
  </si>
  <si>
    <t>xi^3</t>
  </si>
  <si>
    <t>Error</t>
  </si>
  <si>
    <t>A</t>
  </si>
  <si>
    <t>X0</t>
  </si>
  <si>
    <t>Exactitud</t>
  </si>
  <si>
    <t>Entradas</t>
  </si>
  <si>
    <t>Chequeo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</si>
</sst>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1" xfId="0" applyFont="1" applyBorder="1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114"/>
  <sheetViews>
    <sheetView tabSelected="1" zoomScale="160" zoomScaleNormal="160" workbookViewId="0">
      <selection activeCell="E7" sqref="E7"/>
    </sheetView>
  </sheetViews>
  <sheetFormatPr baseColWidth="10" defaultRowHeight="15" x14ac:dyDescent="0.2"/>
  <cols>
    <col min="1" max="1" width="18.83203125" customWidth="1"/>
    <col min="2" max="2" width="7.5" customWidth="1"/>
    <col min="3" max="3" width="5" customWidth="1"/>
    <col min="4" max="4" width="4.5" style="5" customWidth="1"/>
    <col min="5" max="5" width="27.6640625" style="1" customWidth="1"/>
    <col min="6" max="6" width="21.1640625" style="1" bestFit="1" customWidth="1"/>
    <col min="7" max="7" width="7.83203125" style="1" bestFit="1" customWidth="1"/>
    <col min="8" max="8" width="12.1640625" style="1" hidden="1" customWidth="1"/>
    <col min="9" max="10" width="11.5" hidden="1" customWidth="1"/>
    <col min="11" max="11" width="0" hidden="1" customWidth="1"/>
  </cols>
  <sheetData>
    <row r="2" spans="1:11" ht="26" x14ac:dyDescent="0.3">
      <c r="D2" s="4" t="s">
        <v>0</v>
      </c>
      <c r="E2" s="3"/>
      <c r="F2" s="3"/>
      <c r="G2" s="2"/>
      <c r="H2" s="2"/>
    </row>
    <row r="4" spans="1:11" x14ac:dyDescent="0.2">
      <c r="F4" s="1" t="s">
        <v>9</v>
      </c>
    </row>
    <row r="5" spans="1:11" x14ac:dyDescent="0.2">
      <c r="A5" s="6" t="s">
        <v>8</v>
      </c>
      <c r="D5" s="2" t="s">
        <v>1</v>
      </c>
      <c r="E5" s="2" t="s">
        <v>2</v>
      </c>
      <c r="F5" s="2" t="s">
        <v>3</v>
      </c>
      <c r="G5" s="2" t="s">
        <v>4</v>
      </c>
      <c r="H5" s="2" t="s">
        <v>7</v>
      </c>
    </row>
    <row r="6" spans="1:11" x14ac:dyDescent="0.2">
      <c r="A6" s="7" t="s">
        <v>5</v>
      </c>
      <c r="B6">
        <v>1398</v>
      </c>
      <c r="D6" s="1">
        <v>0</v>
      </c>
      <c r="E6" s="1">
        <f>B7</f>
        <v>11</v>
      </c>
      <c r="F6" s="1">
        <f>E6^3</f>
        <v>1331</v>
      </c>
      <c r="H6" s="1" t="e">
        <f>ABS(E6-#REF!)/#REF!</f>
        <v>#REF!</v>
      </c>
      <c r="I6">
        <f>ABS($B$6-F6)/$B$6</f>
        <v>4.7925608011444923E-2</v>
      </c>
    </row>
    <row r="7" spans="1:11" x14ac:dyDescent="0.2">
      <c r="A7" s="8" t="s">
        <v>6</v>
      </c>
      <c r="B7">
        <v>11</v>
      </c>
      <c r="D7" s="1">
        <f>D6+1</f>
        <v>1</v>
      </c>
      <c r="E7" s="9">
        <f>SQRT((E6^3+$B$6)/(2*E6))</f>
        <v>11.137569507996551</v>
      </c>
      <c r="F7" s="9">
        <f>E7^3</f>
        <v>1381.5648721510265</v>
      </c>
      <c r="G7" s="1">
        <f>ABS(E7-E6)</f>
        <v>0.13756950799655066</v>
      </c>
      <c r="H7" s="1" t="e">
        <f>ABS(E7-#REF!)/#REF!</f>
        <v>#REF!</v>
      </c>
      <c r="I7">
        <f t="shared" ref="I7" si="0">ABS($B$6-F7)/$B$6</f>
        <v>1.1756171565789328E-2</v>
      </c>
      <c r="J7" s="1">
        <f>IF(G7&lt;0.0005,1,0)</f>
        <v>0</v>
      </c>
      <c r="K7">
        <f>IF(G7&lt;0.00000005,1,0)</f>
        <v>0</v>
      </c>
    </row>
    <row r="8" spans="1:11" x14ac:dyDescent="0.2">
      <c r="D8" s="1">
        <f>D7+1</f>
        <v>2</v>
      </c>
      <c r="E8" s="9">
        <f t="shared" ref="E8:E71" si="1">SQRT((E7^3+$B$6)/(2*E7))</f>
        <v>11.170643596118358</v>
      </c>
      <c r="F8" s="9">
        <f>E8^3</f>
        <v>1393.909529219839</v>
      </c>
      <c r="G8" s="1">
        <f>ABS(E8-E7)</f>
        <v>3.3074088121807677E-2</v>
      </c>
    </row>
    <row r="9" spans="1:11" x14ac:dyDescent="0.2">
      <c r="D9" s="1">
        <f>D8+1</f>
        <v>3</v>
      </c>
      <c r="E9" s="9">
        <f t="shared" si="1"/>
        <v>11.178835742298254</v>
      </c>
      <c r="F9" s="9">
        <f t="shared" ref="F8:F38" si="2">E9^3</f>
        <v>1396.9785073686785</v>
      </c>
      <c r="G9" s="1">
        <f>ABS(E9-E8)</f>
        <v>8.1921461798959427E-3</v>
      </c>
    </row>
    <row r="10" spans="1:11" x14ac:dyDescent="0.2">
      <c r="D10" s="1">
        <f t="shared" ref="D10:D14" si="3">D9+1</f>
        <v>4</v>
      </c>
      <c r="E10" s="9">
        <f t="shared" si="1"/>
        <v>11.180879090628244</v>
      </c>
      <c r="F10" s="9">
        <f t="shared" si="2"/>
        <v>1397.7446968627276</v>
      </c>
      <c r="G10" s="1">
        <f>ABS(E10-E9)</f>
        <v>2.043348329989314E-3</v>
      </c>
    </row>
    <row r="11" spans="1:11" x14ac:dyDescent="0.2">
      <c r="D11" s="1">
        <f t="shared" si="3"/>
        <v>5</v>
      </c>
      <c r="E11" s="9">
        <f t="shared" si="1"/>
        <v>11.181389635999167</v>
      </c>
      <c r="F11" s="9">
        <f t="shared" si="2"/>
        <v>1397.9361785873691</v>
      </c>
      <c r="G11" s="1">
        <f t="shared" ref="G11:G14" si="4">ABS(E11-E10)</f>
        <v>5.1054537092376506E-4</v>
      </c>
    </row>
    <row r="12" spans="1:11" x14ac:dyDescent="0.2">
      <c r="D12" s="1">
        <f t="shared" si="3"/>
        <v>6</v>
      </c>
      <c r="E12" s="9">
        <f t="shared" si="1"/>
        <v>11.181517254130151</v>
      </c>
      <c r="F12" s="9">
        <f t="shared" si="2"/>
        <v>1397.9840449200008</v>
      </c>
      <c r="G12" s="1">
        <f t="shared" si="4"/>
        <v>1.2761813098371988E-4</v>
      </c>
    </row>
    <row r="13" spans="1:11" x14ac:dyDescent="0.2">
      <c r="D13" s="1">
        <f t="shared" si="3"/>
        <v>7</v>
      </c>
      <c r="E13" s="9">
        <f t="shared" si="1"/>
        <v>11.181549157524978</v>
      </c>
      <c r="F13" s="9">
        <f t="shared" si="2"/>
        <v>1397.9960112470715</v>
      </c>
      <c r="G13" s="1">
        <f t="shared" si="4"/>
        <v>3.1903394827281772E-5</v>
      </c>
    </row>
    <row r="14" spans="1:11" x14ac:dyDescent="0.2">
      <c r="D14" s="1">
        <f t="shared" si="3"/>
        <v>8</v>
      </c>
      <c r="E14" s="9">
        <f t="shared" si="1"/>
        <v>11.181557133302571</v>
      </c>
      <c r="F14" s="9">
        <f t="shared" si="2"/>
        <v>1397.9990028128348</v>
      </c>
      <c r="G14" s="1">
        <f t="shared" si="4"/>
        <v>7.9757775921507346E-6</v>
      </c>
    </row>
    <row r="15" spans="1:11" x14ac:dyDescent="0.2">
      <c r="D15" s="1">
        <f t="shared" ref="D15:D19" si="5">D14+1</f>
        <v>9</v>
      </c>
      <c r="E15" s="9">
        <f t="shared" si="1"/>
        <v>11.181559127242524</v>
      </c>
      <c r="F15" s="9">
        <f t="shared" si="2"/>
        <v>1397.9997507032754</v>
      </c>
      <c r="G15" s="1">
        <f t="shared" ref="G15:G19" si="6">ABS(E15-E14)</f>
        <v>1.9939399535928715E-6</v>
      </c>
    </row>
    <row r="16" spans="1:11" x14ac:dyDescent="0.2">
      <c r="D16" s="1">
        <f t="shared" si="5"/>
        <v>10</v>
      </c>
      <c r="E16" s="9">
        <f t="shared" si="1"/>
        <v>11.181559625727235</v>
      </c>
      <c r="F16" s="9">
        <f t="shared" si="2"/>
        <v>1397.9999376758233</v>
      </c>
      <c r="G16" s="1">
        <f t="shared" si="6"/>
        <v>4.9848471128655092E-7</v>
      </c>
    </row>
    <row r="17" spans="4:7" x14ac:dyDescent="0.2">
      <c r="D17" s="1">
        <f t="shared" si="5"/>
        <v>11</v>
      </c>
      <c r="E17" s="9">
        <f t="shared" si="1"/>
        <v>11.181559750348395</v>
      </c>
      <c r="F17" s="9">
        <f t="shared" si="2"/>
        <v>1397.999984418956</v>
      </c>
      <c r="G17" s="1">
        <f t="shared" si="6"/>
        <v>1.2462115961398013E-7</v>
      </c>
    </row>
    <row r="18" spans="4:7" x14ac:dyDescent="0.2">
      <c r="D18" s="1">
        <f t="shared" si="5"/>
        <v>12</v>
      </c>
      <c r="E18" s="9">
        <f t="shared" si="1"/>
        <v>11.181559781503683</v>
      </c>
      <c r="F18" s="9">
        <f t="shared" si="2"/>
        <v>1397.9999961047388</v>
      </c>
      <c r="G18" s="1">
        <f t="shared" si="6"/>
        <v>3.1155288127138192E-8</v>
      </c>
    </row>
    <row r="19" spans="4:7" x14ac:dyDescent="0.2">
      <c r="D19" s="1">
        <f t="shared" si="5"/>
        <v>13</v>
      </c>
      <c r="E19" s="9">
        <f t="shared" si="1"/>
        <v>11.181559789292505</v>
      </c>
      <c r="F19" s="9">
        <f t="shared" si="2"/>
        <v>1397.9999990261845</v>
      </c>
      <c r="G19" s="1">
        <f t="shared" si="6"/>
        <v>7.788822031784548E-9</v>
      </c>
    </row>
    <row r="20" spans="4:7" x14ac:dyDescent="0.2">
      <c r="D20" s="1">
        <f t="shared" ref="D20:D25" si="7">D19+1</f>
        <v>14</v>
      </c>
      <c r="E20" s="9">
        <f t="shared" si="1"/>
        <v>11.18155979123971</v>
      </c>
      <c r="F20" s="9">
        <f t="shared" si="2"/>
        <v>1397.9999997565458</v>
      </c>
      <c r="G20" s="1">
        <f t="shared" ref="G20:G25" si="8">ABS(E20-E19)</f>
        <v>1.9472050638569272E-9</v>
      </c>
    </row>
    <row r="21" spans="4:7" x14ac:dyDescent="0.2">
      <c r="D21" s="1">
        <f t="shared" si="7"/>
        <v>15</v>
      </c>
      <c r="E21" s="9">
        <f t="shared" si="1"/>
        <v>11.181559791726512</v>
      </c>
      <c r="F21" s="9">
        <f t="shared" si="2"/>
        <v>1397.9999999391362</v>
      </c>
      <c r="G21" s="1">
        <f t="shared" si="8"/>
        <v>4.8680171005344164E-10</v>
      </c>
    </row>
    <row r="22" spans="4:7" x14ac:dyDescent="0.2">
      <c r="D22" s="1">
        <f t="shared" si="7"/>
        <v>16</v>
      </c>
      <c r="E22" s="9">
        <f t="shared" si="1"/>
        <v>11.181559791848214</v>
      </c>
      <c r="F22" s="9">
        <f t="shared" si="2"/>
        <v>1397.9999999847844</v>
      </c>
      <c r="G22" s="1">
        <f t="shared" si="8"/>
        <v>1.2170175978098996E-10</v>
      </c>
    </row>
    <row r="23" spans="4:7" x14ac:dyDescent="0.2">
      <c r="D23" s="1">
        <f t="shared" si="7"/>
        <v>17</v>
      </c>
      <c r="E23" s="9">
        <f t="shared" si="1"/>
        <v>11.181559791878637</v>
      </c>
      <c r="F23" s="9">
        <f t="shared" si="2"/>
        <v>1397.9999999961958</v>
      </c>
      <c r="G23" s="1">
        <f t="shared" si="8"/>
        <v>3.042366358840809E-11</v>
      </c>
    </row>
    <row r="24" spans="4:7" x14ac:dyDescent="0.2">
      <c r="D24" s="1">
        <f t="shared" si="7"/>
        <v>18</v>
      </c>
      <c r="E24" s="9">
        <f t="shared" si="1"/>
        <v>11.181559791886244</v>
      </c>
      <c r="F24" s="9">
        <f t="shared" si="2"/>
        <v>1397.9999999990489</v>
      </c>
      <c r="G24" s="1">
        <f t="shared" si="8"/>
        <v>7.6063599863118725E-12</v>
      </c>
    </row>
    <row r="25" spans="4:7" x14ac:dyDescent="0.2">
      <c r="D25" s="1">
        <f t="shared" si="7"/>
        <v>19</v>
      </c>
      <c r="E25" s="9">
        <f t="shared" si="1"/>
        <v>11.181559791888146</v>
      </c>
      <c r="F25" s="9">
        <f t="shared" si="2"/>
        <v>1397.9999999997622</v>
      </c>
      <c r="G25" s="1">
        <f t="shared" si="8"/>
        <v>1.9024781749976682E-12</v>
      </c>
    </row>
    <row r="26" spans="4:7" x14ac:dyDescent="0.2">
      <c r="D26" s="1">
        <f t="shared" ref="D26:D30" si="9">D25+1</f>
        <v>20</v>
      </c>
      <c r="E26" s="9">
        <f t="shared" si="1"/>
        <v>11.18155979188862</v>
      </c>
      <c r="F26" s="9">
        <f t="shared" si="2"/>
        <v>1397.9999999999402</v>
      </c>
      <c r="G26" s="1">
        <f t="shared" ref="G26:G30" si="10">ABS(E26-E25)</f>
        <v>4.7428727611986687E-13</v>
      </c>
    </row>
    <row r="27" spans="4:7" x14ac:dyDescent="0.2">
      <c r="D27" s="1">
        <f t="shared" si="9"/>
        <v>21</v>
      </c>
      <c r="E27" s="9">
        <f t="shared" si="1"/>
        <v>11.181559791888739</v>
      </c>
      <c r="F27" s="9">
        <f t="shared" si="2"/>
        <v>1397.9999999999848</v>
      </c>
      <c r="G27" s="1">
        <f t="shared" si="10"/>
        <v>1.1901590823981678E-13</v>
      </c>
    </row>
    <row r="28" spans="4:7" x14ac:dyDescent="0.2">
      <c r="D28" s="1">
        <f t="shared" si="9"/>
        <v>22</v>
      </c>
      <c r="E28" s="9">
        <f t="shared" si="1"/>
        <v>11.18155979188877</v>
      </c>
      <c r="F28" s="9">
        <f t="shared" si="2"/>
        <v>1397.9999999999961</v>
      </c>
      <c r="G28" s="1">
        <f t="shared" si="10"/>
        <v>3.0198066269804258E-14</v>
      </c>
    </row>
    <row r="29" spans="4:7" x14ac:dyDescent="0.2">
      <c r="D29" s="1">
        <f t="shared" si="9"/>
        <v>23</v>
      </c>
      <c r="E29" s="9">
        <f t="shared" si="1"/>
        <v>11.181559791888777</v>
      </c>
      <c r="F29" s="9">
        <f t="shared" si="2"/>
        <v>1397.9999999999989</v>
      </c>
      <c r="G29" s="1">
        <f t="shared" si="10"/>
        <v>7.1054273576010019E-15</v>
      </c>
    </row>
    <row r="30" spans="4:7" x14ac:dyDescent="0.2">
      <c r="D30" s="1">
        <f t="shared" si="9"/>
        <v>24</v>
      </c>
      <c r="E30" s="9">
        <f t="shared" si="1"/>
        <v>11.18155979188878</v>
      </c>
      <c r="F30" s="9">
        <f t="shared" si="2"/>
        <v>1398</v>
      </c>
      <c r="G30" s="1">
        <f t="shared" si="10"/>
        <v>3.5527136788005009E-15</v>
      </c>
    </row>
    <row r="31" spans="4:7" x14ac:dyDescent="0.2">
      <c r="D31" s="1">
        <f>D30+1</f>
        <v>25</v>
      </c>
      <c r="E31" s="9">
        <f t="shared" si="1"/>
        <v>11.18155979188878</v>
      </c>
      <c r="F31" s="9">
        <f t="shared" si="2"/>
        <v>1398</v>
      </c>
      <c r="G31" s="1">
        <f>ABS(E31-E30)</f>
        <v>0</v>
      </c>
    </row>
    <row r="32" spans="4:7" x14ac:dyDescent="0.2">
      <c r="D32" s="1">
        <f t="shared" ref="D32:D33" si="11">D31+1</f>
        <v>26</v>
      </c>
      <c r="E32" s="9">
        <f t="shared" si="1"/>
        <v>11.18155979188878</v>
      </c>
      <c r="F32" s="9">
        <f t="shared" si="2"/>
        <v>1398</v>
      </c>
      <c r="G32" s="1">
        <f t="shared" ref="G32:G33" si="12">ABS(E32-E31)</f>
        <v>0</v>
      </c>
    </row>
    <row r="33" spans="4:7" x14ac:dyDescent="0.2">
      <c r="D33" s="1">
        <f t="shared" si="11"/>
        <v>27</v>
      </c>
      <c r="E33" s="9">
        <f t="shared" si="1"/>
        <v>11.18155979188878</v>
      </c>
      <c r="F33" s="9">
        <f t="shared" si="2"/>
        <v>1398</v>
      </c>
      <c r="G33" s="1">
        <f t="shared" si="12"/>
        <v>0</v>
      </c>
    </row>
    <row r="34" spans="4:7" x14ac:dyDescent="0.2">
      <c r="D34" s="1">
        <f>D33+1</f>
        <v>28</v>
      </c>
      <c r="E34" s="9">
        <f t="shared" si="1"/>
        <v>11.18155979188878</v>
      </c>
      <c r="F34" s="9">
        <f t="shared" si="2"/>
        <v>1398</v>
      </c>
      <c r="G34" s="1">
        <f>ABS(E34-E33)</f>
        <v>0</v>
      </c>
    </row>
    <row r="35" spans="4:7" x14ac:dyDescent="0.2">
      <c r="D35" s="1">
        <f t="shared" ref="D35:D36" si="13">D34+1</f>
        <v>29</v>
      </c>
      <c r="E35" s="9">
        <f t="shared" si="1"/>
        <v>11.18155979188878</v>
      </c>
      <c r="F35" s="9">
        <f t="shared" si="2"/>
        <v>1398</v>
      </c>
      <c r="G35" s="1">
        <f t="shared" ref="G35:G36" si="14">ABS(E35-E34)</f>
        <v>0</v>
      </c>
    </row>
    <row r="36" spans="4:7" x14ac:dyDescent="0.2">
      <c r="D36" s="1">
        <f t="shared" si="13"/>
        <v>30</v>
      </c>
      <c r="E36" s="9">
        <f t="shared" si="1"/>
        <v>11.18155979188878</v>
      </c>
      <c r="F36" s="9">
        <f t="shared" si="2"/>
        <v>1398</v>
      </c>
      <c r="G36" s="1">
        <f t="shared" si="14"/>
        <v>0</v>
      </c>
    </row>
    <row r="37" spans="4:7" x14ac:dyDescent="0.2">
      <c r="D37" s="1">
        <f>D36+1</f>
        <v>31</v>
      </c>
      <c r="E37" s="9">
        <f t="shared" si="1"/>
        <v>11.18155979188878</v>
      </c>
      <c r="F37" s="9">
        <f t="shared" si="2"/>
        <v>1398</v>
      </c>
      <c r="G37" s="1">
        <f>ABS(E37-E36)</f>
        <v>0</v>
      </c>
    </row>
    <row r="38" spans="4:7" x14ac:dyDescent="0.2">
      <c r="D38" s="1">
        <f t="shared" ref="D38:D93" si="15">D37+1</f>
        <v>32</v>
      </c>
      <c r="E38" s="9">
        <f t="shared" si="1"/>
        <v>11.18155979188878</v>
      </c>
      <c r="F38" s="9">
        <f t="shared" si="2"/>
        <v>1398</v>
      </c>
      <c r="G38" s="1">
        <f t="shared" ref="G38" si="16">ABS(E38-E37)</f>
        <v>0</v>
      </c>
    </row>
    <row r="39" spans="4:7" x14ac:dyDescent="0.2">
      <c r="D39" s="1">
        <f t="shared" si="15"/>
        <v>33</v>
      </c>
      <c r="E39" s="9">
        <f t="shared" si="1"/>
        <v>11.18155979188878</v>
      </c>
      <c r="F39" s="9">
        <f t="shared" ref="F39:F93" si="17">E39^3</f>
        <v>1398</v>
      </c>
      <c r="G39" s="1">
        <f t="shared" ref="G39:G93" si="18">ABS(E39-E38)</f>
        <v>0</v>
      </c>
    </row>
    <row r="40" spans="4:7" x14ac:dyDescent="0.2">
      <c r="D40" s="1">
        <f t="shared" si="15"/>
        <v>34</v>
      </c>
      <c r="E40" s="9">
        <f t="shared" si="1"/>
        <v>11.18155979188878</v>
      </c>
      <c r="F40" s="9">
        <f t="shared" si="17"/>
        <v>1398</v>
      </c>
      <c r="G40" s="1">
        <f t="shared" si="18"/>
        <v>0</v>
      </c>
    </row>
    <row r="41" spans="4:7" x14ac:dyDescent="0.2">
      <c r="D41" s="1">
        <f t="shared" si="15"/>
        <v>35</v>
      </c>
      <c r="E41" s="9">
        <f t="shared" si="1"/>
        <v>11.18155979188878</v>
      </c>
      <c r="F41" s="9">
        <f t="shared" si="17"/>
        <v>1398</v>
      </c>
      <c r="G41" s="1">
        <f t="shared" si="18"/>
        <v>0</v>
      </c>
    </row>
    <row r="42" spans="4:7" x14ac:dyDescent="0.2">
      <c r="D42" s="1">
        <f t="shared" si="15"/>
        <v>36</v>
      </c>
      <c r="E42" s="9">
        <f t="shared" si="1"/>
        <v>11.18155979188878</v>
      </c>
      <c r="F42" s="9">
        <f t="shared" si="17"/>
        <v>1398</v>
      </c>
      <c r="G42" s="1">
        <f t="shared" si="18"/>
        <v>0</v>
      </c>
    </row>
    <row r="43" spans="4:7" x14ac:dyDescent="0.2">
      <c r="D43" s="1">
        <f t="shared" si="15"/>
        <v>37</v>
      </c>
      <c r="E43" s="9">
        <f t="shared" si="1"/>
        <v>11.18155979188878</v>
      </c>
      <c r="F43" s="9">
        <f t="shared" si="17"/>
        <v>1398</v>
      </c>
      <c r="G43" s="1">
        <f t="shared" si="18"/>
        <v>0</v>
      </c>
    </row>
    <row r="44" spans="4:7" x14ac:dyDescent="0.2">
      <c r="D44" s="1">
        <f t="shared" si="15"/>
        <v>38</v>
      </c>
      <c r="E44" s="9">
        <f t="shared" si="1"/>
        <v>11.18155979188878</v>
      </c>
      <c r="F44" s="9">
        <f t="shared" si="17"/>
        <v>1398</v>
      </c>
      <c r="G44" s="1">
        <f t="shared" si="18"/>
        <v>0</v>
      </c>
    </row>
    <row r="45" spans="4:7" x14ac:dyDescent="0.2">
      <c r="D45" s="1">
        <f t="shared" si="15"/>
        <v>39</v>
      </c>
      <c r="E45" s="9">
        <f t="shared" si="1"/>
        <v>11.18155979188878</v>
      </c>
      <c r="F45" s="9">
        <f t="shared" si="17"/>
        <v>1398</v>
      </c>
      <c r="G45" s="1">
        <f t="shared" si="18"/>
        <v>0</v>
      </c>
    </row>
    <row r="46" spans="4:7" x14ac:dyDescent="0.2">
      <c r="D46" s="1">
        <f t="shared" si="15"/>
        <v>40</v>
      </c>
      <c r="E46" s="9">
        <f t="shared" si="1"/>
        <v>11.18155979188878</v>
      </c>
      <c r="F46" s="9">
        <f t="shared" si="17"/>
        <v>1398</v>
      </c>
      <c r="G46" s="1">
        <f t="shared" si="18"/>
        <v>0</v>
      </c>
    </row>
    <row r="47" spans="4:7" x14ac:dyDescent="0.2">
      <c r="D47" s="1">
        <f t="shared" si="15"/>
        <v>41</v>
      </c>
      <c r="E47" s="9">
        <f t="shared" si="1"/>
        <v>11.18155979188878</v>
      </c>
      <c r="F47" s="9">
        <f t="shared" si="17"/>
        <v>1398</v>
      </c>
      <c r="G47" s="1">
        <f t="shared" si="18"/>
        <v>0</v>
      </c>
    </row>
    <row r="48" spans="4:7" x14ac:dyDescent="0.2">
      <c r="D48" s="1">
        <f t="shared" si="15"/>
        <v>42</v>
      </c>
      <c r="E48" s="9">
        <f t="shared" si="1"/>
        <v>11.18155979188878</v>
      </c>
      <c r="F48" s="9">
        <f t="shared" si="17"/>
        <v>1398</v>
      </c>
      <c r="G48" s="1">
        <f t="shared" si="18"/>
        <v>0</v>
      </c>
    </row>
    <row r="49" spans="4:7" x14ac:dyDescent="0.2">
      <c r="D49" s="1">
        <f t="shared" si="15"/>
        <v>43</v>
      </c>
      <c r="E49" s="9">
        <f t="shared" si="1"/>
        <v>11.18155979188878</v>
      </c>
      <c r="F49" s="9">
        <f t="shared" si="17"/>
        <v>1398</v>
      </c>
      <c r="G49" s="1">
        <f t="shared" si="18"/>
        <v>0</v>
      </c>
    </row>
    <row r="50" spans="4:7" x14ac:dyDescent="0.2">
      <c r="D50" s="1">
        <f t="shared" si="15"/>
        <v>44</v>
      </c>
      <c r="E50" s="9">
        <f t="shared" si="1"/>
        <v>11.18155979188878</v>
      </c>
      <c r="F50" s="9">
        <f t="shared" si="17"/>
        <v>1398</v>
      </c>
      <c r="G50" s="1">
        <f t="shared" si="18"/>
        <v>0</v>
      </c>
    </row>
    <row r="51" spans="4:7" x14ac:dyDescent="0.2">
      <c r="D51" s="1">
        <f t="shared" si="15"/>
        <v>45</v>
      </c>
      <c r="E51" s="9">
        <f t="shared" si="1"/>
        <v>11.18155979188878</v>
      </c>
      <c r="F51" s="9">
        <f t="shared" si="17"/>
        <v>1398</v>
      </c>
      <c r="G51" s="1">
        <f t="shared" si="18"/>
        <v>0</v>
      </c>
    </row>
    <row r="52" spans="4:7" x14ac:dyDescent="0.2">
      <c r="D52" s="1">
        <f t="shared" si="15"/>
        <v>46</v>
      </c>
      <c r="E52" s="9">
        <f t="shared" si="1"/>
        <v>11.18155979188878</v>
      </c>
      <c r="F52" s="9">
        <f t="shared" si="17"/>
        <v>1398</v>
      </c>
      <c r="G52" s="1">
        <f t="shared" si="18"/>
        <v>0</v>
      </c>
    </row>
    <row r="53" spans="4:7" x14ac:dyDescent="0.2">
      <c r="D53" s="1">
        <f t="shared" si="15"/>
        <v>47</v>
      </c>
      <c r="E53" s="9">
        <f t="shared" si="1"/>
        <v>11.18155979188878</v>
      </c>
      <c r="F53" s="9">
        <f t="shared" si="17"/>
        <v>1398</v>
      </c>
      <c r="G53" s="1">
        <f t="shared" si="18"/>
        <v>0</v>
      </c>
    </row>
    <row r="54" spans="4:7" x14ac:dyDescent="0.2">
      <c r="D54" s="1">
        <f t="shared" si="15"/>
        <v>48</v>
      </c>
      <c r="E54" s="9">
        <f t="shared" si="1"/>
        <v>11.18155979188878</v>
      </c>
      <c r="F54" s="9">
        <f t="shared" si="17"/>
        <v>1398</v>
      </c>
      <c r="G54" s="1">
        <f t="shared" si="18"/>
        <v>0</v>
      </c>
    </row>
    <row r="55" spans="4:7" x14ac:dyDescent="0.2">
      <c r="D55" s="1">
        <f t="shared" si="15"/>
        <v>49</v>
      </c>
      <c r="E55" s="9">
        <f t="shared" si="1"/>
        <v>11.18155979188878</v>
      </c>
      <c r="F55" s="9">
        <f t="shared" si="17"/>
        <v>1398</v>
      </c>
      <c r="G55" s="1">
        <f t="shared" si="18"/>
        <v>0</v>
      </c>
    </row>
    <row r="56" spans="4:7" x14ac:dyDescent="0.2">
      <c r="D56" s="1">
        <f t="shared" si="15"/>
        <v>50</v>
      </c>
      <c r="E56" s="9">
        <f t="shared" si="1"/>
        <v>11.18155979188878</v>
      </c>
      <c r="F56" s="9">
        <f t="shared" si="17"/>
        <v>1398</v>
      </c>
      <c r="G56" s="1">
        <f t="shared" si="18"/>
        <v>0</v>
      </c>
    </row>
    <row r="57" spans="4:7" x14ac:dyDescent="0.2">
      <c r="D57" s="1">
        <f t="shared" si="15"/>
        <v>51</v>
      </c>
      <c r="E57" s="9">
        <f t="shared" si="1"/>
        <v>11.18155979188878</v>
      </c>
      <c r="F57" s="9">
        <f t="shared" si="17"/>
        <v>1398</v>
      </c>
      <c r="G57" s="1">
        <f t="shared" si="18"/>
        <v>0</v>
      </c>
    </row>
    <row r="58" spans="4:7" x14ac:dyDescent="0.2">
      <c r="D58" s="1">
        <f t="shared" si="15"/>
        <v>52</v>
      </c>
      <c r="E58" s="9">
        <f t="shared" si="1"/>
        <v>11.18155979188878</v>
      </c>
      <c r="F58" s="9">
        <f t="shared" si="17"/>
        <v>1398</v>
      </c>
      <c r="G58" s="1">
        <f t="shared" si="18"/>
        <v>0</v>
      </c>
    </row>
    <row r="59" spans="4:7" x14ac:dyDescent="0.2">
      <c r="D59" s="1">
        <f t="shared" si="15"/>
        <v>53</v>
      </c>
      <c r="E59" s="9">
        <f t="shared" si="1"/>
        <v>11.18155979188878</v>
      </c>
      <c r="F59" s="9">
        <f t="shared" si="17"/>
        <v>1398</v>
      </c>
      <c r="G59" s="1">
        <f t="shared" si="18"/>
        <v>0</v>
      </c>
    </row>
    <row r="60" spans="4:7" x14ac:dyDescent="0.2">
      <c r="D60" s="1">
        <f t="shared" si="15"/>
        <v>54</v>
      </c>
      <c r="E60" s="9">
        <f t="shared" si="1"/>
        <v>11.18155979188878</v>
      </c>
      <c r="F60" s="9">
        <f t="shared" si="17"/>
        <v>1398</v>
      </c>
      <c r="G60" s="1">
        <f t="shared" si="18"/>
        <v>0</v>
      </c>
    </row>
    <row r="61" spans="4:7" x14ac:dyDescent="0.2">
      <c r="D61" s="1">
        <f t="shared" si="15"/>
        <v>55</v>
      </c>
      <c r="E61" s="9">
        <f t="shared" si="1"/>
        <v>11.18155979188878</v>
      </c>
      <c r="F61" s="9">
        <f t="shared" si="17"/>
        <v>1398</v>
      </c>
      <c r="G61" s="1">
        <f t="shared" si="18"/>
        <v>0</v>
      </c>
    </row>
    <row r="62" spans="4:7" x14ac:dyDescent="0.2">
      <c r="D62" s="1">
        <f t="shared" si="15"/>
        <v>56</v>
      </c>
      <c r="E62" s="9">
        <f t="shared" si="1"/>
        <v>11.18155979188878</v>
      </c>
      <c r="F62" s="9">
        <f t="shared" si="17"/>
        <v>1398</v>
      </c>
      <c r="G62" s="1">
        <f t="shared" si="18"/>
        <v>0</v>
      </c>
    </row>
    <row r="63" spans="4:7" x14ac:dyDescent="0.2">
      <c r="D63" s="1">
        <f t="shared" si="15"/>
        <v>57</v>
      </c>
      <c r="E63" s="9">
        <f t="shared" si="1"/>
        <v>11.18155979188878</v>
      </c>
      <c r="F63" s="9">
        <f t="shared" si="17"/>
        <v>1398</v>
      </c>
      <c r="G63" s="1">
        <f t="shared" si="18"/>
        <v>0</v>
      </c>
    </row>
    <row r="64" spans="4:7" x14ac:dyDescent="0.2">
      <c r="D64" s="1">
        <f t="shared" si="15"/>
        <v>58</v>
      </c>
      <c r="E64" s="9">
        <f t="shared" si="1"/>
        <v>11.18155979188878</v>
      </c>
      <c r="F64" s="9">
        <f t="shared" si="17"/>
        <v>1398</v>
      </c>
      <c r="G64" s="1">
        <f t="shared" si="18"/>
        <v>0</v>
      </c>
    </row>
    <row r="65" spans="4:7" x14ac:dyDescent="0.2">
      <c r="D65" s="1">
        <f t="shared" si="15"/>
        <v>59</v>
      </c>
      <c r="E65" s="9">
        <f t="shared" si="1"/>
        <v>11.18155979188878</v>
      </c>
      <c r="F65" s="9">
        <f t="shared" si="17"/>
        <v>1398</v>
      </c>
      <c r="G65" s="1">
        <f t="shared" si="18"/>
        <v>0</v>
      </c>
    </row>
    <row r="66" spans="4:7" x14ac:dyDescent="0.2">
      <c r="D66" s="1">
        <f t="shared" si="15"/>
        <v>60</v>
      </c>
      <c r="E66" s="9">
        <f t="shared" si="1"/>
        <v>11.18155979188878</v>
      </c>
      <c r="F66" s="9">
        <f t="shared" si="17"/>
        <v>1398</v>
      </c>
      <c r="G66" s="1">
        <f t="shared" si="18"/>
        <v>0</v>
      </c>
    </row>
    <row r="67" spans="4:7" x14ac:dyDescent="0.2">
      <c r="D67" s="1">
        <f t="shared" si="15"/>
        <v>61</v>
      </c>
      <c r="E67" s="9">
        <f t="shared" si="1"/>
        <v>11.18155979188878</v>
      </c>
      <c r="F67" s="9">
        <f t="shared" si="17"/>
        <v>1398</v>
      </c>
      <c r="G67" s="1">
        <f t="shared" si="18"/>
        <v>0</v>
      </c>
    </row>
    <row r="68" spans="4:7" x14ac:dyDescent="0.2">
      <c r="D68" s="1">
        <f t="shared" si="15"/>
        <v>62</v>
      </c>
      <c r="E68" s="9">
        <f t="shared" si="1"/>
        <v>11.18155979188878</v>
      </c>
      <c r="F68" s="9">
        <f t="shared" si="17"/>
        <v>1398</v>
      </c>
      <c r="G68" s="1">
        <f t="shared" si="18"/>
        <v>0</v>
      </c>
    </row>
    <row r="69" spans="4:7" x14ac:dyDescent="0.2">
      <c r="D69" s="1">
        <f t="shared" si="15"/>
        <v>63</v>
      </c>
      <c r="E69" s="9">
        <f t="shared" si="1"/>
        <v>11.18155979188878</v>
      </c>
      <c r="F69" s="9">
        <f t="shared" si="17"/>
        <v>1398</v>
      </c>
      <c r="G69" s="1">
        <f t="shared" si="18"/>
        <v>0</v>
      </c>
    </row>
    <row r="70" spans="4:7" x14ac:dyDescent="0.2">
      <c r="D70" s="1">
        <f t="shared" si="15"/>
        <v>64</v>
      </c>
      <c r="E70" s="9">
        <f t="shared" si="1"/>
        <v>11.18155979188878</v>
      </c>
      <c r="F70" s="9">
        <f t="shared" si="17"/>
        <v>1398</v>
      </c>
      <c r="G70" s="1">
        <f t="shared" si="18"/>
        <v>0</v>
      </c>
    </row>
    <row r="71" spans="4:7" x14ac:dyDescent="0.2">
      <c r="D71" s="1">
        <f t="shared" si="15"/>
        <v>65</v>
      </c>
      <c r="E71" s="9">
        <f t="shared" si="1"/>
        <v>11.18155979188878</v>
      </c>
      <c r="F71" s="9">
        <f t="shared" si="17"/>
        <v>1398</v>
      </c>
      <c r="G71" s="1">
        <f t="shared" si="18"/>
        <v>0</v>
      </c>
    </row>
    <row r="72" spans="4:7" x14ac:dyDescent="0.2">
      <c r="D72" s="1">
        <f t="shared" si="15"/>
        <v>66</v>
      </c>
      <c r="E72" s="9">
        <f t="shared" ref="E72:E93" si="19">SQRT((E71^3+$B$6)/(2*E71))</f>
        <v>11.18155979188878</v>
      </c>
      <c r="F72" s="9">
        <f t="shared" si="17"/>
        <v>1398</v>
      </c>
      <c r="G72" s="1">
        <f t="shared" si="18"/>
        <v>0</v>
      </c>
    </row>
    <row r="73" spans="4:7" x14ac:dyDescent="0.2">
      <c r="D73" s="1">
        <f t="shared" si="15"/>
        <v>67</v>
      </c>
      <c r="E73" s="9">
        <f t="shared" si="19"/>
        <v>11.18155979188878</v>
      </c>
      <c r="F73" s="9">
        <f t="shared" si="17"/>
        <v>1398</v>
      </c>
      <c r="G73" s="1">
        <f t="shared" si="18"/>
        <v>0</v>
      </c>
    </row>
    <row r="74" spans="4:7" x14ac:dyDescent="0.2">
      <c r="D74" s="1">
        <f t="shared" si="15"/>
        <v>68</v>
      </c>
      <c r="E74" s="9">
        <f t="shared" si="19"/>
        <v>11.18155979188878</v>
      </c>
      <c r="F74" s="9">
        <f t="shared" si="17"/>
        <v>1398</v>
      </c>
      <c r="G74" s="1">
        <f t="shared" si="18"/>
        <v>0</v>
      </c>
    </row>
    <row r="75" spans="4:7" x14ac:dyDescent="0.2">
      <c r="D75" s="1">
        <f t="shared" si="15"/>
        <v>69</v>
      </c>
      <c r="E75" s="9">
        <f t="shared" si="19"/>
        <v>11.18155979188878</v>
      </c>
      <c r="F75" s="9">
        <f t="shared" si="17"/>
        <v>1398</v>
      </c>
      <c r="G75" s="1">
        <f t="shared" si="18"/>
        <v>0</v>
      </c>
    </row>
    <row r="76" spans="4:7" x14ac:dyDescent="0.2">
      <c r="D76" s="1">
        <f t="shared" si="15"/>
        <v>70</v>
      </c>
      <c r="E76" s="9">
        <f t="shared" si="19"/>
        <v>11.18155979188878</v>
      </c>
      <c r="F76" s="9">
        <f t="shared" si="17"/>
        <v>1398</v>
      </c>
      <c r="G76" s="1">
        <f t="shared" si="18"/>
        <v>0</v>
      </c>
    </row>
    <row r="77" spans="4:7" x14ac:dyDescent="0.2">
      <c r="D77" s="1">
        <f t="shared" si="15"/>
        <v>71</v>
      </c>
      <c r="E77" s="9">
        <f t="shared" si="19"/>
        <v>11.18155979188878</v>
      </c>
      <c r="F77" s="9">
        <f t="shared" si="17"/>
        <v>1398</v>
      </c>
      <c r="G77" s="1">
        <f t="shared" si="18"/>
        <v>0</v>
      </c>
    </row>
    <row r="78" spans="4:7" x14ac:dyDescent="0.2">
      <c r="D78" s="1">
        <f t="shared" si="15"/>
        <v>72</v>
      </c>
      <c r="E78" s="9">
        <f t="shared" si="19"/>
        <v>11.18155979188878</v>
      </c>
      <c r="F78" s="9">
        <f t="shared" si="17"/>
        <v>1398</v>
      </c>
      <c r="G78" s="1">
        <f t="shared" si="18"/>
        <v>0</v>
      </c>
    </row>
    <row r="79" spans="4:7" x14ac:dyDescent="0.2">
      <c r="D79" s="1">
        <f t="shared" si="15"/>
        <v>73</v>
      </c>
      <c r="E79" s="9">
        <f t="shared" si="19"/>
        <v>11.18155979188878</v>
      </c>
      <c r="F79" s="9">
        <f t="shared" si="17"/>
        <v>1398</v>
      </c>
      <c r="G79" s="1">
        <f t="shared" si="18"/>
        <v>0</v>
      </c>
    </row>
    <row r="80" spans="4:7" x14ac:dyDescent="0.2">
      <c r="D80" s="1">
        <f t="shared" si="15"/>
        <v>74</v>
      </c>
      <c r="E80" s="9">
        <f t="shared" si="19"/>
        <v>11.18155979188878</v>
      </c>
      <c r="F80" s="9">
        <f t="shared" si="17"/>
        <v>1398</v>
      </c>
      <c r="G80" s="1">
        <f t="shared" si="18"/>
        <v>0</v>
      </c>
    </row>
    <row r="81" spans="4:7" x14ac:dyDescent="0.2">
      <c r="D81" s="1">
        <f t="shared" si="15"/>
        <v>75</v>
      </c>
      <c r="E81" s="9">
        <f t="shared" si="19"/>
        <v>11.18155979188878</v>
      </c>
      <c r="F81" s="9">
        <f t="shared" si="17"/>
        <v>1398</v>
      </c>
      <c r="G81" s="1">
        <f t="shared" si="18"/>
        <v>0</v>
      </c>
    </row>
    <row r="82" spans="4:7" x14ac:dyDescent="0.2">
      <c r="D82" s="1">
        <f t="shared" si="15"/>
        <v>76</v>
      </c>
      <c r="E82" s="9">
        <f t="shared" si="19"/>
        <v>11.18155979188878</v>
      </c>
      <c r="F82" s="9">
        <f t="shared" si="17"/>
        <v>1398</v>
      </c>
      <c r="G82" s="1">
        <f t="shared" si="18"/>
        <v>0</v>
      </c>
    </row>
    <row r="83" spans="4:7" x14ac:dyDescent="0.2">
      <c r="D83" s="1">
        <f t="shared" si="15"/>
        <v>77</v>
      </c>
      <c r="E83" s="9">
        <f t="shared" si="19"/>
        <v>11.18155979188878</v>
      </c>
      <c r="F83" s="9">
        <f t="shared" si="17"/>
        <v>1398</v>
      </c>
      <c r="G83" s="1">
        <f t="shared" si="18"/>
        <v>0</v>
      </c>
    </row>
    <row r="84" spans="4:7" x14ac:dyDescent="0.2">
      <c r="D84" s="1">
        <f t="shared" si="15"/>
        <v>78</v>
      </c>
      <c r="E84" s="9">
        <f t="shared" si="19"/>
        <v>11.18155979188878</v>
      </c>
      <c r="F84" s="9">
        <f t="shared" si="17"/>
        <v>1398</v>
      </c>
      <c r="G84" s="1">
        <f t="shared" si="18"/>
        <v>0</v>
      </c>
    </row>
    <row r="85" spans="4:7" x14ac:dyDescent="0.2">
      <c r="D85" s="1">
        <f t="shared" si="15"/>
        <v>79</v>
      </c>
      <c r="E85" s="9">
        <f t="shared" si="19"/>
        <v>11.18155979188878</v>
      </c>
      <c r="F85" s="9">
        <f t="shared" si="17"/>
        <v>1398</v>
      </c>
      <c r="G85" s="1">
        <f t="shared" si="18"/>
        <v>0</v>
      </c>
    </row>
    <row r="86" spans="4:7" x14ac:dyDescent="0.2">
      <c r="D86" s="1">
        <f t="shared" si="15"/>
        <v>80</v>
      </c>
      <c r="E86" s="9">
        <f t="shared" si="19"/>
        <v>11.18155979188878</v>
      </c>
      <c r="F86" s="9">
        <f t="shared" si="17"/>
        <v>1398</v>
      </c>
      <c r="G86" s="1">
        <f t="shared" si="18"/>
        <v>0</v>
      </c>
    </row>
    <row r="87" spans="4:7" x14ac:dyDescent="0.2">
      <c r="D87" s="1">
        <f t="shared" si="15"/>
        <v>81</v>
      </c>
      <c r="E87" s="9">
        <f t="shared" si="19"/>
        <v>11.18155979188878</v>
      </c>
      <c r="F87" s="9">
        <f t="shared" si="17"/>
        <v>1398</v>
      </c>
      <c r="G87" s="1">
        <f t="shared" si="18"/>
        <v>0</v>
      </c>
    </row>
    <row r="88" spans="4:7" x14ac:dyDescent="0.2">
      <c r="D88" s="1">
        <f t="shared" si="15"/>
        <v>82</v>
      </c>
      <c r="E88" s="9">
        <f t="shared" si="19"/>
        <v>11.18155979188878</v>
      </c>
      <c r="F88" s="9">
        <f t="shared" si="17"/>
        <v>1398</v>
      </c>
      <c r="G88" s="1">
        <f t="shared" si="18"/>
        <v>0</v>
      </c>
    </row>
    <row r="89" spans="4:7" x14ac:dyDescent="0.2">
      <c r="D89" s="1">
        <f t="shared" si="15"/>
        <v>83</v>
      </c>
      <c r="E89" s="9">
        <f t="shared" si="19"/>
        <v>11.18155979188878</v>
      </c>
      <c r="F89" s="9">
        <f t="shared" si="17"/>
        <v>1398</v>
      </c>
      <c r="G89" s="1">
        <f t="shared" si="18"/>
        <v>0</v>
      </c>
    </row>
    <row r="90" spans="4:7" x14ac:dyDescent="0.2">
      <c r="D90" s="1">
        <f t="shared" si="15"/>
        <v>84</v>
      </c>
      <c r="E90" s="9">
        <f t="shared" si="19"/>
        <v>11.18155979188878</v>
      </c>
      <c r="F90" s="9">
        <f t="shared" si="17"/>
        <v>1398</v>
      </c>
      <c r="G90" s="1">
        <f t="shared" si="18"/>
        <v>0</v>
      </c>
    </row>
    <row r="91" spans="4:7" x14ac:dyDescent="0.2">
      <c r="D91" s="1">
        <f t="shared" si="15"/>
        <v>85</v>
      </c>
      <c r="E91" s="9">
        <f t="shared" si="19"/>
        <v>11.18155979188878</v>
      </c>
      <c r="F91" s="9">
        <f t="shared" si="17"/>
        <v>1398</v>
      </c>
      <c r="G91" s="1">
        <f t="shared" si="18"/>
        <v>0</v>
      </c>
    </row>
    <row r="92" spans="4:7" x14ac:dyDescent="0.2">
      <c r="D92" s="1">
        <f t="shared" si="15"/>
        <v>86</v>
      </c>
      <c r="E92" s="9">
        <f t="shared" si="19"/>
        <v>11.18155979188878</v>
      </c>
      <c r="F92" s="9">
        <f t="shared" si="17"/>
        <v>1398</v>
      </c>
      <c r="G92" s="1">
        <f t="shared" si="18"/>
        <v>0</v>
      </c>
    </row>
    <row r="93" spans="4:7" x14ac:dyDescent="0.2">
      <c r="D93" s="1">
        <f t="shared" si="15"/>
        <v>87</v>
      </c>
      <c r="E93" s="9">
        <f t="shared" si="19"/>
        <v>11.18155979188878</v>
      </c>
      <c r="F93" s="9">
        <f t="shared" si="17"/>
        <v>1398</v>
      </c>
      <c r="G93" s="1">
        <f t="shared" si="18"/>
        <v>0</v>
      </c>
    </row>
    <row r="94" spans="4:7" x14ac:dyDescent="0.2">
      <c r="D94" s="1"/>
      <c r="E94" s="9"/>
      <c r="F94" s="9"/>
    </row>
    <row r="95" spans="4:7" x14ac:dyDescent="0.2">
      <c r="D95" s="1"/>
      <c r="E95" s="9"/>
      <c r="F95" s="9"/>
    </row>
    <row r="96" spans="4:7" x14ac:dyDescent="0.2">
      <c r="D96" s="1"/>
      <c r="E96" s="9"/>
      <c r="F96" s="9"/>
    </row>
    <row r="97" spans="4:6" x14ac:dyDescent="0.2">
      <c r="D97" s="1"/>
      <c r="E97" s="9"/>
      <c r="F97" s="9"/>
    </row>
    <row r="98" spans="4:6" x14ac:dyDescent="0.2">
      <c r="D98" s="1"/>
      <c r="E98" s="9"/>
      <c r="F98" s="9"/>
    </row>
    <row r="99" spans="4:6" x14ac:dyDescent="0.2">
      <c r="D99" s="1"/>
      <c r="E99" s="9"/>
      <c r="F99" s="9"/>
    </row>
    <row r="100" spans="4:6" x14ac:dyDescent="0.2">
      <c r="D100" s="1"/>
      <c r="E100" s="9"/>
      <c r="F100" s="9"/>
    </row>
    <row r="101" spans="4:6" x14ac:dyDescent="0.2">
      <c r="D101" s="1"/>
      <c r="E101" s="9"/>
      <c r="F101" s="9"/>
    </row>
    <row r="102" spans="4:6" x14ac:dyDescent="0.2">
      <c r="D102" s="1"/>
      <c r="E102" s="9"/>
      <c r="F102" s="9"/>
    </row>
    <row r="103" spans="4:6" x14ac:dyDescent="0.2">
      <c r="D103" s="1"/>
      <c r="E103" s="9"/>
      <c r="F103" s="9"/>
    </row>
    <row r="104" spans="4:6" x14ac:dyDescent="0.2">
      <c r="D104" s="1"/>
      <c r="E104" s="9"/>
      <c r="F104" s="9"/>
    </row>
    <row r="105" spans="4:6" x14ac:dyDescent="0.2">
      <c r="D105" s="1"/>
      <c r="E105" s="9"/>
      <c r="F105" s="9"/>
    </row>
    <row r="106" spans="4:6" x14ac:dyDescent="0.2">
      <c r="D106" s="1"/>
      <c r="E106" s="9"/>
      <c r="F106" s="9"/>
    </row>
    <row r="107" spans="4:6" x14ac:dyDescent="0.2">
      <c r="D107" s="1"/>
      <c r="E107" s="9"/>
      <c r="F107" s="9"/>
    </row>
    <row r="108" spans="4:6" x14ac:dyDescent="0.2">
      <c r="D108" s="1"/>
      <c r="E108" s="9"/>
      <c r="F108" s="9"/>
    </row>
    <row r="109" spans="4:6" x14ac:dyDescent="0.2">
      <c r="D109" s="1"/>
      <c r="E109" s="9"/>
      <c r="F109" s="9"/>
    </row>
    <row r="110" spans="4:6" x14ac:dyDescent="0.2">
      <c r="D110" s="1"/>
      <c r="E110" s="9"/>
      <c r="F110" s="9"/>
    </row>
    <row r="111" spans="4:6" x14ac:dyDescent="0.2">
      <c r="D111" s="1"/>
      <c r="E111" s="9"/>
      <c r="F111" s="9"/>
    </row>
    <row r="112" spans="4:6" x14ac:dyDescent="0.2">
      <c r="D112" s="1"/>
      <c r="E112" s="9"/>
      <c r="F112" s="9"/>
    </row>
    <row r="113" spans="4:6" x14ac:dyDescent="0.2">
      <c r="D113" s="1"/>
      <c r="E113" s="9"/>
      <c r="F113" s="9"/>
    </row>
    <row r="114" spans="4:6" x14ac:dyDescent="0.2">
      <c r="D114" s="1"/>
      <c r="E114" s="9"/>
      <c r="F114" s="9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425F86A60C7454B8BDD3F1BF8D82E3B" ma:contentTypeVersion="10" ma:contentTypeDescription="Crear nuevo documento." ma:contentTypeScope="" ma:versionID="ec35a9ad0c4b711e3aa07a86a18ca655">
  <xsd:schema xmlns:xsd="http://www.w3.org/2001/XMLSchema" xmlns:xs="http://www.w3.org/2001/XMLSchema" xmlns:p="http://schemas.microsoft.com/office/2006/metadata/properties" xmlns:ns2="ae42025c-3733-4889-950c-c5a6c2642195" xmlns:ns3="6dea858c-df1f-4c9f-98c7-38b88068e9be" targetNamespace="http://schemas.microsoft.com/office/2006/metadata/properties" ma:root="true" ma:fieldsID="fc587c9338036d9bcf291b9536c708bb" ns2:_="" ns3:_="">
    <xsd:import namespace="ae42025c-3733-4889-950c-c5a6c2642195"/>
    <xsd:import namespace="6dea858c-df1f-4c9f-98c7-38b88068e9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42025c-3733-4889-950c-c5a6c26421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aef40d5-b715-412d-bec7-270c581220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ea858c-df1f-4c9f-98c7-38b88068e9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852e90c-b22a-4ae1-be3b-a436b6a6fb7f}" ma:internalName="TaxCatchAll" ma:showField="CatchAllData" ma:web="6dea858c-df1f-4c9f-98c7-38b88068e9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e42025c-3733-4889-950c-c5a6c2642195">
      <Terms xmlns="http://schemas.microsoft.com/office/infopath/2007/PartnerControls"/>
    </lcf76f155ced4ddcb4097134ff3c332f>
    <TaxCatchAll xmlns="6dea858c-df1f-4c9f-98c7-38b88068e9b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A0582D4-E9C8-4A9E-8D8C-4C69F9159A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42025c-3733-4889-950c-c5a6c2642195"/>
    <ds:schemaRef ds:uri="6dea858c-df1f-4c9f-98c7-38b88068e9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D018BF-2958-45D8-915E-B1C80D4C03B1}">
  <ds:schemaRefs>
    <ds:schemaRef ds:uri="http://schemas.microsoft.com/office/2006/metadata/properties"/>
    <ds:schemaRef ds:uri="http://schemas.microsoft.com/office/infopath/2007/PartnerControls"/>
    <ds:schemaRef ds:uri="ae42025c-3733-4889-950c-c5a6c2642195"/>
    <ds:schemaRef ds:uri="6dea858c-df1f-4c9f-98c7-38b88068e9be"/>
  </ds:schemaRefs>
</ds:datastoreItem>
</file>

<file path=customXml/itemProps3.xml><?xml version="1.0" encoding="utf-8"?>
<ds:datastoreItem xmlns:ds="http://schemas.openxmlformats.org/officeDocument/2006/customXml" ds:itemID="{233653CE-7A22-4F6B-8B92-4F2BBF0AEEC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>Maah37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Juan Felipe Florez Giraldo</cp:lastModifiedBy>
  <dcterms:created xsi:type="dcterms:W3CDTF">2018-02-02T15:36:48Z</dcterms:created>
  <dcterms:modified xsi:type="dcterms:W3CDTF">2026-02-10T19:13:42Z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0x0101003425F86A60C7454B8BDD3F1BF8D82E3B</vt:lpwstr>
  </property>
</Properties>
</file>