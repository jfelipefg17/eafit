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elipefg17/Desktop/"/>
    </mc:Choice>
  </mc:AlternateContent>
  <xr:revisionPtr revIDLastSave="0" documentId="8_{B61408A7-C02A-0A4E-9B06-A6115C5749CB}" xr6:coauthVersionLast="47" xr6:coauthVersionMax="47" xr10:uidLastSave="{00000000-0000-0000-0000-000000000000}"/>
  <bookViews>
    <workbookView xWindow="3980" yWindow="2780" windowWidth="28040" windowHeight="17180" xr2:uid="{DC602B04-81AF-AF41-9CF6-72EEE80CAD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B12" i="1"/>
  <c r="B13" i="1" s="1"/>
  <c r="F9" i="1"/>
  <c r="F10" i="1" s="1"/>
  <c r="L7" i="1"/>
  <c r="I7" i="1"/>
  <c r="F7" i="1"/>
  <c r="C7" i="1"/>
  <c r="C9" i="1" s="1"/>
  <c r="C10" i="1" s="1"/>
  <c r="I4" i="1"/>
  <c r="I5" i="1" s="1"/>
  <c r="F4" i="1"/>
  <c r="F5" i="1" s="1"/>
  <c r="C4" i="1"/>
  <c r="C5" i="1" s="1"/>
  <c r="F13" i="1" s="1"/>
</calcChain>
</file>

<file path=xl/sharedStrings.xml><?xml version="1.0" encoding="utf-8"?>
<sst xmlns="http://schemas.openxmlformats.org/spreadsheetml/2006/main" count="23" uniqueCount="23">
  <si>
    <t>3CS-RC</t>
  </si>
  <si>
    <t>l</t>
  </si>
  <si>
    <t>a</t>
  </si>
  <si>
    <t>h</t>
  </si>
  <si>
    <t>El</t>
  </si>
  <si>
    <t>Ea</t>
  </si>
  <si>
    <t>Eh</t>
  </si>
  <si>
    <t>el</t>
  </si>
  <si>
    <t>ea</t>
  </si>
  <si>
    <t>eh</t>
  </si>
  <si>
    <t>l*a</t>
  </si>
  <si>
    <t>V=(l*a)*h</t>
  </si>
  <si>
    <t>ha</t>
  </si>
  <si>
    <t>hl</t>
  </si>
  <si>
    <t>r1</t>
  </si>
  <si>
    <t>r2</t>
  </si>
  <si>
    <t>Vex</t>
  </si>
  <si>
    <t>Error relativo</t>
  </si>
  <si>
    <t>|Vex-Vaprox|</t>
  </si>
  <si>
    <t>Ev</t>
  </si>
  <si>
    <t>Cota</t>
  </si>
  <si>
    <t>er1</t>
  </si>
  <si>
    <t>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</si>
</sst>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00000"/>
    <numFmt numFmtId="169" formatCode="0.0000000"/>
    <numFmt numFmtId="170" formatCode="0.0000"/>
    <numFmt numFmtId="171" formatCode="0.00000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168" fontId="0" fillId="2" borderId="0" xfId="0" applyNumberFormat="1" applyFill="1" applyAlignment="1">
      <alignment horizontal="center"/>
    </xf>
    <xf numFmtId="169" fontId="0" fillId="2" borderId="0" xfId="0" applyNumberFormat="1" applyFill="1" applyAlignment="1">
      <alignment horizontal="center"/>
    </xf>
    <xf numFmtId="0" fontId="1" fillId="3" borderId="1" xfId="0" applyFont="1" applyFill="1" applyBorder="1"/>
    <xf numFmtId="2" fontId="1" fillId="3" borderId="1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170" fontId="1" fillId="0" borderId="0" xfId="0" applyNumberFormat="1" applyFont="1"/>
    <xf numFmtId="170" fontId="1" fillId="0" borderId="0" xfId="0" applyNumberFormat="1" applyFont="1" applyAlignment="1">
      <alignment horizontal="center"/>
    </xf>
    <xf numFmtId="0" fontId="1" fillId="0" borderId="0" xfId="0" applyFont="1"/>
    <xf numFmtId="171" fontId="0" fillId="5" borderId="0" xfId="0" applyNumberFormat="1" applyFill="1" applyAlignment="1">
      <alignment horizontal="left" inden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BDE24-7736-FC47-8FEF-088524533BCC}">
  <dimension ref="A1:L15"/>
  <sheetViews>
    <sheetView tabSelected="1" workbookViewId="0">
      <selection activeCell="H21" sqref="H21"/>
    </sheetView>
  </sheetViews>
  <sheetFormatPr baseColWidth="10" defaultRowHeight="16" x14ac:dyDescent="0.2"/>
  <sheetData>
    <row r="1" spans="1:12" x14ac:dyDescent="0.2">
      <c r="B1" s="1" t="s">
        <v>0</v>
      </c>
      <c r="F1" s="2"/>
      <c r="I1" s="2"/>
    </row>
    <row r="2" spans="1:12" x14ac:dyDescent="0.2">
      <c r="C2" s="3">
        <v>28.25</v>
      </c>
      <c r="F2" s="4">
        <v>53.35</v>
      </c>
      <c r="I2" s="4">
        <v>75.59</v>
      </c>
    </row>
    <row r="3" spans="1:12" x14ac:dyDescent="0.2">
      <c r="B3" s="1" t="s">
        <v>1</v>
      </c>
      <c r="C3" s="5">
        <v>28.25</v>
      </c>
      <c r="E3" s="1" t="s">
        <v>2</v>
      </c>
      <c r="F3" s="5">
        <v>53.35</v>
      </c>
      <c r="H3" s="1" t="s">
        <v>3</v>
      </c>
      <c r="I3" s="5">
        <v>75.59</v>
      </c>
    </row>
    <row r="4" spans="1:12" x14ac:dyDescent="0.2">
      <c r="B4" s="1" t="s">
        <v>4</v>
      </c>
      <c r="C4" s="2">
        <f>ABS(C2-C3)</f>
        <v>0</v>
      </c>
      <c r="E4" s="1" t="s">
        <v>5</v>
      </c>
      <c r="F4" s="2">
        <f>ABS(F2-F3)</f>
        <v>0</v>
      </c>
      <c r="H4" s="1" t="s">
        <v>6</v>
      </c>
      <c r="I4" s="2">
        <f>ABS(I2-I3)</f>
        <v>0</v>
      </c>
    </row>
    <row r="5" spans="1:12" x14ac:dyDescent="0.2">
      <c r="B5" s="1" t="s">
        <v>7</v>
      </c>
      <c r="C5" s="2">
        <f>C4/C3</f>
        <v>0</v>
      </c>
      <c r="E5" s="1" t="s">
        <v>8</v>
      </c>
      <c r="F5" s="2">
        <f>F4/F3</f>
        <v>0</v>
      </c>
      <c r="H5" s="1" t="s">
        <v>9</v>
      </c>
      <c r="I5" s="2">
        <f>I4/I3</f>
        <v>0</v>
      </c>
    </row>
    <row r="6" spans="1:12" x14ac:dyDescent="0.2">
      <c r="B6" s="1"/>
      <c r="C6" s="2"/>
      <c r="E6" s="1"/>
      <c r="F6" s="2"/>
      <c r="H6" s="1"/>
      <c r="I6" s="2"/>
    </row>
    <row r="7" spans="1:12" x14ac:dyDescent="0.2">
      <c r="B7" s="1" t="s">
        <v>10</v>
      </c>
      <c r="C7" s="6">
        <f>C3*F3</f>
        <v>1507.1375</v>
      </c>
      <c r="E7" s="1" t="s">
        <v>11</v>
      </c>
      <c r="F7" s="7">
        <f>C8*I3</f>
        <v>113914.13</v>
      </c>
      <c r="H7" s="1" t="s">
        <v>12</v>
      </c>
      <c r="I7" s="2">
        <f>F3*I3</f>
        <v>4032.7265000000002</v>
      </c>
      <c r="K7" s="1" t="s">
        <v>13</v>
      </c>
      <c r="L7">
        <f>C3*I3</f>
        <v>2135.4175</v>
      </c>
    </row>
    <row r="8" spans="1:12" x14ac:dyDescent="0.2">
      <c r="C8" s="8">
        <v>1507</v>
      </c>
      <c r="F8" s="9">
        <v>113900</v>
      </c>
      <c r="I8" s="10">
        <v>4032</v>
      </c>
      <c r="L8" s="11">
        <v>2135</v>
      </c>
    </row>
    <row r="9" spans="1:12" x14ac:dyDescent="0.2">
      <c r="B9" s="1" t="s">
        <v>14</v>
      </c>
      <c r="C9" s="12">
        <f>ABS(C7-C8)/ABS(C7)</f>
        <v>9.1232551774503309E-5</v>
      </c>
      <c r="E9" s="1" t="s">
        <v>15</v>
      </c>
      <c r="F9" s="13">
        <f>ABS(F7-F8)/ABS(F7)</f>
        <v>1.2404080161086824E-4</v>
      </c>
      <c r="I9" s="2"/>
    </row>
    <row r="10" spans="1:12" x14ac:dyDescent="0.2">
      <c r="B10" s="1" t="s">
        <v>21</v>
      </c>
      <c r="C10" s="14">
        <f>C9/C8</f>
        <v>6.0539184986399013E-8</v>
      </c>
      <c r="E10" s="1" t="s">
        <v>22</v>
      </c>
      <c r="F10" s="14">
        <f>F9/F8</f>
        <v>1.0890324987784746E-9</v>
      </c>
      <c r="I10" s="2"/>
    </row>
    <row r="11" spans="1:12" x14ac:dyDescent="0.2">
      <c r="C11" s="14"/>
      <c r="E11" s="14"/>
      <c r="F11" s="14"/>
      <c r="G11" s="14"/>
      <c r="H11" s="14"/>
      <c r="I11" s="14"/>
    </row>
    <row r="12" spans="1:12" x14ac:dyDescent="0.2">
      <c r="A12" s="1" t="s">
        <v>16</v>
      </c>
      <c r="B12" s="15">
        <f>C2*F2*I2</f>
        <v>113924.523625</v>
      </c>
      <c r="E12" s="16" t="s">
        <v>17</v>
      </c>
      <c r="F12" s="16"/>
      <c r="G12" s="16"/>
      <c r="H12" s="16"/>
      <c r="I12" s="16"/>
    </row>
    <row r="13" spans="1:12" x14ac:dyDescent="0.2">
      <c r="A13" s="14" t="s">
        <v>18</v>
      </c>
      <c r="B13" s="2">
        <f>ABS(B12-F8)</f>
        <v>24.52362500000163</v>
      </c>
      <c r="E13" s="17" t="s">
        <v>19</v>
      </c>
      <c r="F13" s="18">
        <f>I8*C5+L8*F5+I3*C9+C8*I5+F9</f>
        <v>7.0203093902455743E-3</v>
      </c>
      <c r="G13" s="19"/>
      <c r="H13" s="19" t="s">
        <v>20</v>
      </c>
      <c r="I13" s="20">
        <f>(ABS(I3)*ABS(F3)+ABS(I3)*ABS(C3)+ABS(I3)+ABS(C3)*ABS(F3)+1)*(5*10^(-4))</f>
        <v>3.87593575</v>
      </c>
    </row>
    <row r="14" spans="1:12" x14ac:dyDescent="0.2">
      <c r="F14" s="2"/>
      <c r="I14" s="2"/>
    </row>
    <row r="15" spans="1:12" x14ac:dyDescent="0.2">
      <c r="F15" s="2"/>
      <c r="I15" s="2"/>
    </row>
  </sheetData>
  <mergeCells count="1">
    <mergeCell ref="E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Florez Giraldo</dc:creator>
  <cp:lastModifiedBy>Juan Felipe Florez Giraldo</cp:lastModifiedBy>
  <dcterms:created xsi:type="dcterms:W3CDTF">2026-02-16T21:48:29Z</dcterms:created>
  <dcterms:modified xsi:type="dcterms:W3CDTF">2026-02-16T21:49:54Z</dcterms:modified>
</cp:coreProperties>
</file>